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0"/>
      <color theme="1"/>
      <name val="Fira Sans"/>
      <family val="2"/>
      <scheme val="minor"/>
    </font>
    <font>
      <name val="Fira Sans SemiBold"/>
      <color rgb="006B2A4C"/>
      <sz val="18"/>
    </font>
    <font>
      <name val="Fira Sans Light"/>
      <color rgb="006A626B"/>
      <sz val="11"/>
    </font>
    <font>
      <name val="Fira Sans SemiBold"/>
      <color rgb="006B2A4C"/>
      <sz val="12"/>
    </font>
    <font>
      <name val="Fira Sans SemiBold"/>
      <color rgb="006B2A4C"/>
      <sz val="28"/>
    </font>
    <font>
      <name val="Fira Sans"/>
      <color rgb="006A626B"/>
      <sz val="9"/>
    </font>
    <font>
      <name val="Fira Sans Medium"/>
      <color rgb="006B2A4C"/>
      <sz val="10"/>
    </font>
    <font>
      <name val="Fira Sans"/>
      <color rgb="00231C21"/>
      <sz val="10"/>
    </font>
    <font>
      <name val="Fira Sans SemiBold"/>
      <color rgb="00231C21"/>
      <sz val="10"/>
    </font>
    <font>
      <name val="Fira Sans SemiBold"/>
      <color rgb="006B2A4C"/>
      <sz val="13"/>
    </font>
    <font>
      <name val="EB Garamond"/>
      <i val="1"/>
      <color rgb="008E4166"/>
      <sz val="12"/>
    </font>
    <font>
      <name val="Fira Sans Medium"/>
      <color rgb="006A626B"/>
      <sz val="8.5"/>
    </font>
  </fonts>
  <fills count="3">
    <fill>
      <patternFill/>
    </fill>
    <fill>
      <patternFill patternType="gray125"/>
    </fill>
    <fill>
      <patternFill patternType="solid">
        <fgColor rgb="00F4EDF1"/>
      </patternFill>
    </fill>
  </fills>
  <borders count="5">
    <border>
      <left/>
      <right/>
      <top/>
      <bottom/>
      <diagonal/>
    </border>
    <border/>
    <border>
      <bottom style="thin">
        <color rgb="00D9C9D2"/>
      </bottom>
    </border>
    <border>
      <left style="thin">
        <color rgb="00D9C9D2"/>
      </left>
      <right style="thin">
        <color rgb="00D9C9D2"/>
      </right>
      <top style="thin">
        <color rgb="00D9C9D2"/>
      </top>
      <bottom style="thin">
        <color rgb="00D9C9D2"/>
      </bottom>
    </border>
    <border>
      <top style="thin">
        <color rgb="00231C21"/>
      </top>
    </border>
  </borders>
  <cellStyleXfs count="10">
    <xf numFmtId="0" fontId="0" fillId="0" borderId="0"/>
    <xf numFmtId="0" fontId="1" fillId="0" borderId="1" applyAlignment="1">
      <alignment vertical="bottom"/>
    </xf>
    <xf numFmtId="0" fontId="2" fillId="0" borderId="1"/>
    <xf numFmtId="0" fontId="3" fillId="0" borderId="2" applyAlignment="1">
      <alignment vertical="bottom"/>
    </xf>
    <xf numFmtId="3" fontId="4" fillId="0" borderId="1" applyAlignment="1">
      <alignment horizontal="left" vertical="bottom"/>
    </xf>
    <xf numFmtId="0" fontId="5" fillId="0" borderId="1" applyAlignment="1">
      <alignment vertical="top"/>
    </xf>
    <xf numFmtId="0" fontId="6" fillId="0" borderId="1"/>
    <xf numFmtId="0" fontId="7" fillId="2" borderId="3"/>
    <xf numFmtId="0" fontId="5" fillId="0" borderId="1"/>
    <xf numFmtId="0" fontId="8" fillId="0" borderId="4"/>
  </cellStyleXfs>
  <cellXfs count="14">
    <xf numFmtId="0" fontId="0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" fillId="0" borderId="1" applyAlignment="1" pivotButton="0" quotePrefix="0" xfId="1">
      <alignment vertical="bottom"/>
    </xf>
    <xf numFmtId="0" fontId="2" fillId="0" borderId="1" pivotButton="0" quotePrefix="0" xfId="2"/>
    <xf numFmtId="3" fontId="4" fillId="0" borderId="1" applyAlignment="1" pivotButton="0" quotePrefix="0" xfId="4">
      <alignment horizontal="left" vertical="bottom"/>
    </xf>
    <xf numFmtId="0" fontId="5" fillId="0" borderId="1" applyAlignment="1" pivotButton="0" quotePrefix="0" xfId="5">
      <alignment vertical="bottom"/>
    </xf>
    <xf numFmtId="0" fontId="3" fillId="0" borderId="2" applyAlignment="1" pivotButton="0" quotePrefix="0" xfId="3">
      <alignment vertical="bottom"/>
    </xf>
    <xf numFmtId="0" fontId="5" fillId="0" borderId="1" applyAlignment="1" pivotButton="0" quotePrefix="0" xfId="8">
      <alignment/>
    </xf>
    <xf numFmtId="0" fontId="6" fillId="0" borderId="1" pivotButton="0" quotePrefix="0" xfId="6"/>
    <xf numFmtId="3" fontId="7" fillId="2" borderId="3" pivotButton="0" quotePrefix="0" xfId="7"/>
    <xf numFmtId="164" fontId="8" fillId="0" borderId="4" pivotButton="0" quotePrefix="0" xfId="9"/>
    <xf numFmtId="3" fontId="0" fillId="0" borderId="0" pivotButton="0" quotePrefix="0" xfId="0"/>
  </cellXfs>
  <cellStyles count="10">
    <cellStyle name="Normal" xfId="0" builtinId="0" hidden="0"/>
    <cellStyle name="SAUS Title" xfId="1" hidden="0"/>
    <cellStyle name="SAUS Subtitle" xfId="2" hidden="0"/>
    <cellStyle name="SAUS Heading" xfId="3" hidden="0"/>
    <cellStyle name="SAUS Key Figure" xfId="4" hidden="0"/>
    <cellStyle name="SAUS Key Label" xfId="5" hidden="0"/>
    <cellStyle name="SAUS Label" xfId="6" hidden="0"/>
    <cellStyle name="SAUS Input" xfId="7" hidden="0"/>
    <cellStyle name="SAUS Note" xfId="8" hidden="0"/>
    <cellStyle name="SAUS Total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enrolment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'Overview'!C21</f>
            </strRef>
          </tx>
          <spPr>
            <a:solidFill xmlns:a="http://schemas.openxmlformats.org/drawingml/2006/main">
              <a:srgbClr val="6B2A4C"/>
            </a:solidFill>
            <a:ln xmlns:a="http://schemas.openxmlformats.org/drawingml/2006/main">
              <a:noFill/>
              <a:prstDash val="solid"/>
            </a:ln>
          </spPr>
          <cat>
            <numRef>
              <f>'Overview'!$B$22:$B$25</f>
            </numRef>
          </cat>
          <val>
            <numRef>
              <f>'Overview'!$C$22:$C$25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Relationship Type="http://schemas.openxmlformats.org/officeDocument/2006/relationships/image" Target="/xl/media/image4.png" Id="rId5"/><Relationship Type="http://schemas.openxmlformats.org/officeDocument/2006/relationships/image" Target="/xl/media/image5.png" Id="rId6"/><Relationship Type="http://schemas.openxmlformats.org/officeDocument/2006/relationships/image" Target="/xl/media/image6.png" Id="rId7"/><Relationship Type="http://schemas.openxmlformats.org/officeDocument/2006/relationships/image" Target="/xl/media/image7.pn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3348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0</row>
      <rowOff>85725</rowOff>
    </from>
    <ext cx="561975" cy="704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266700</colOff>
      <row>0</row>
      <rowOff>114300</rowOff>
    </from>
    <ext cx="142875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</row>
      <rowOff>219075</rowOff>
    </from>
    <ext cx="1257300" cy="323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9525</rowOff>
    </from>
    <ext cx="7134225" cy="285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</colOff>
      <row>11</row>
      <rowOff>0</rowOff>
    </from>
    <ext cx="666750" cy="38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19050</colOff>
      <row>11</row>
      <rowOff>0</rowOff>
    </from>
    <ext cx="666750" cy="38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19050</colOff>
      <row>11</row>
      <rowOff>0</rowOff>
    </from>
    <ext cx="666750" cy="38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85725</rowOff>
    </from>
    <ext cx="561975" cy="70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266700</colOff>
      <row>0</row>
      <rowOff>114300</rowOff>
    </from>
    <ext cx="142875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438150</colOff>
      <row>1</row>
      <rowOff>219075</rowOff>
    </from>
    <ext cx="1257300" cy="323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9525</rowOff>
    </from>
    <ext cx="7134225" cy="28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Projection" displayName="Projection" ref="B21:C25" headerRowCount="1">
  <autoFilter ref="B21:C25"/>
  <tableColumns count="2">
    <tableColumn id="2" name="Year"/>
    <tableColumn id="3" name="Students"/>
  </tableColumns>
  <tableStyleInfo name="TableStyleMedium2" showRowStripes="1"/>
</table>
</file>

<file path=xl/tables/table2.xml><?xml version="1.0" encoding="utf-8"?>
<table xmlns="http://schemas.openxmlformats.org/spreadsheetml/2006/main" id="2" name="ScheduleTable" displayName="ScheduleTable" ref="B11:D15" headerRowCount="1">
  <autoFilter ref="B11:D15"/>
  <tableColumns count="3">
    <tableColumn id="2" name="Year"/>
    <tableColumn id="3" name="Workstream"/>
    <tableColumn id="4" name="Owner"/>
  </tableColumns>
  <tableStyleInfo name="TableStyleLight9" showRowStripes="1"/>
</table>
</file>

<file path=xl/theme/theme1.xml><?xml version="1.0" encoding="utf-8"?>
<a:theme xmlns:a="http://schemas.openxmlformats.org/drawingml/2006/main" name="SAUS">
  <a:themeElements>
    <a:clrScheme name="SAUS">
      <a:dk1>
        <a:srgbClr val="231C21"/>
      </a:dk1>
      <a:lt1>
        <a:srgbClr val="FFFFFF"/>
      </a:lt1>
      <a:dk2>
        <a:srgbClr val="4A1C34"/>
      </a:dk2>
      <a:lt2>
        <a:srgbClr val="F4EDF1"/>
      </a:lt2>
      <a:accent1>
        <a:srgbClr val="6B2A4C"/>
      </a:accent1>
      <a:accent2>
        <a:srgbClr val="1A1A91"/>
      </a:accent2>
      <a:accent3>
        <a:srgbClr val="C39B3E"/>
      </a:accent3>
      <a:accent4>
        <a:srgbClr val="2E6B4F"/>
      </a:accent4>
      <a:accent5>
        <a:srgbClr val="B3261E"/>
      </a:accent5>
      <a:accent6>
        <a:srgbClr val="6A626B"/>
      </a:accent6>
      <a:hlink>
        <a:srgbClr val="1A1A91"/>
      </a:hlink>
      <a:folHlink>
        <a:srgbClr val="8E4166"/>
      </a:folHlink>
    </a:clrScheme>
    <a:fontScheme name="SAUS">
      <a:majorFont>
        <a:latin typeface="Fira Sans SemiBold"/>
        <a:ea typeface=""/>
        <a:cs typeface="Lateef"/>
        <a:font script="Jpan" typeface="ＭＳ Ｐゴシック"/>
        <a:font script="Hang" typeface="맑은 고딕"/>
        <a:font script="Hans" typeface="宋体"/>
        <a:font script="Hant" typeface="新細明體"/>
        <a:font script="Arab" typeface="Lateef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Fira Sans"/>
        <a:ea typeface=""/>
        <a:cs typeface="Lateef"/>
        <a:font script="Jpan" typeface="ＭＳ Ｐゴシック"/>
        <a:font script="Hang" typeface="맑은 고딕"/>
        <a:font script="Hans" typeface="宋体"/>
        <a:font script="Hant" typeface="新細明體"/>
        <a:font script="Arab" typeface="Lateef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0" customHeight="1"/>
    <row r="2" ht="19" customHeight="1">
      <c r="C2" s="1" t="inlineStr">
        <is>
          <t>THE SHAIKH AYAZ UNIVERSITY, SHIKARPUR</t>
        </is>
      </c>
    </row>
    <row r="3" ht="16" customHeight="1">
      <c r="C3" s="2" t="inlineStr">
        <is>
          <t>Revival of Educational Glory of Shikarpur</t>
        </is>
      </c>
    </row>
    <row r="4" ht="14" customHeight="1">
      <c r="C4" s="3" t="inlineStr">
        <is>
          <t>DEPARTMENT OF COMPUTER SCIENCE</t>
        </is>
      </c>
    </row>
    <row r="5" ht="9" customHeight="1"/>
    <row r="6" ht="5" customHeight="1"/>
    <row r="7" ht="12" customHeight="1"/>
    <row r="8" ht="28" customHeight="1">
      <c r="B8" s="4" t="inlineStr">
        <is>
          <t>The university at a glance</t>
        </is>
      </c>
    </row>
    <row r="9" ht="17" customHeight="1">
      <c r="B9" s="5" t="inlineStr">
        <is>
          <t>Established to revive the educational glory of Shikarpur</t>
        </is>
      </c>
    </row>
    <row r="10" ht="14" customHeight="1"/>
    <row r="11" ht="40" customHeight="1">
      <c r="B11" s="6" t="n">
        <v>7</v>
      </c>
      <c r="D11" s="6" t="n">
        <v>2</v>
      </c>
      <c r="F11" s="6" t="n">
        <v>815</v>
      </c>
    </row>
    <row r="12" ht="22" customHeight="1">
      <c r="B12" s="7" t="inlineStr">
        <is>
          <t>Degree programmes</t>
        </is>
      </c>
      <c r="D12" s="7" t="inlineStr">
        <is>
          <t>Faculties</t>
        </is>
      </c>
      <c r="F12" s="7" t="inlineStr">
        <is>
          <t>Students enrolled</t>
        </is>
      </c>
    </row>
    <row r="14" ht="22" customHeight="1">
      <c r="B14" s="8" t="inlineStr">
        <is>
          <t>Illustrative enrolment model</t>
        </is>
      </c>
      <c r="C14" s="8" t="n"/>
      <c r="D14" s="8" t="n"/>
      <c r="E14" s="8" t="n"/>
      <c r="F14" s="8" t="n"/>
      <c r="G14" s="8" t="n"/>
      <c r="H14" s="8" t="n"/>
    </row>
    <row r="15">
      <c r="B15" s="9" t="inlineStr">
        <is>
          <t>Students in year t = 815 × e^(r · t): from 815 today to an illustrative 1,500 in three years. Change the shaded inputs.</t>
        </is>
      </c>
    </row>
    <row r="17">
      <c r="B17" s="10" t="inlineStr">
        <is>
          <t>Students today</t>
        </is>
      </c>
      <c r="D17" s="11" t="n">
        <v>815</v>
      </c>
    </row>
    <row r="18">
      <c r="B18" s="10" t="inlineStr">
        <is>
          <t>Target in 3 years</t>
        </is>
      </c>
      <c r="D18" s="11" t="n">
        <v>1500</v>
      </c>
    </row>
    <row r="19">
      <c r="B19" s="10" t="inlineStr">
        <is>
          <t>Growth rate r</t>
        </is>
      </c>
      <c r="D19" s="12">
        <f>LN(D18/D17)/3</f>
        <v/>
      </c>
    </row>
    <row r="21">
      <c r="B21" t="inlineStr">
        <is>
          <t>Year</t>
        </is>
      </c>
      <c r="C21" t="inlineStr">
        <is>
          <t>Students</t>
        </is>
      </c>
    </row>
    <row r="22">
      <c r="B22" t="n">
        <v>2026</v>
      </c>
      <c r="C22" s="13">
        <f>ROUND($D$17*EXP($D$19*(B22-2026)),0)</f>
        <v/>
      </c>
    </row>
    <row r="23">
      <c r="B23" t="n">
        <v>2027</v>
      </c>
      <c r="C23" s="13">
        <f>ROUND($D$17*EXP($D$19*(B23-2026)),0)</f>
        <v/>
      </c>
    </row>
    <row r="24">
      <c r="B24" t="n">
        <v>2028</v>
      </c>
      <c r="C24" s="13">
        <f>ROUND($D$17*EXP($D$19*(B24-2026)),0)</f>
        <v/>
      </c>
    </row>
    <row r="25">
      <c r="B25" t="n">
        <v>2029</v>
      </c>
      <c r="C25" s="13">
        <f>ROUND($D$17*EXP($D$19*(B25-2026)),0)</f>
        <v/>
      </c>
    </row>
  </sheetData>
  <printOptions horizontalCentered="1"/>
  <pageMargins left="0.55" right="0.55" top="0.5" bottom="0.75" header="0.3" footer="0.35"/>
  <pageSetup orientation="portrait" paperSize="9" fitToHeight="0" fitToWidth="1"/>
  <headerFooter>
    <oddHeader/>
    <oddFooter>&amp;L&amp;"Fira Sans Medium,Regular"&amp;7 &amp;K6B2A4CTHE SHAIKH AYAZ UNIVERSITY, SHIKARPUR&amp;C&amp;"Fira Sans,Regular"&amp;7 &amp;K6A626B&amp;A&amp;R&amp;"Fira Sans,Regular"&amp;7 &amp;K6A626BPage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1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0" customHeight="1"/>
    <row r="2" ht="19" customHeight="1">
      <c r="C2" s="1" t="inlineStr">
        <is>
          <t>THE SHAIKH AYAZ UNIVERSITY, SHIKARPUR</t>
        </is>
      </c>
    </row>
    <row r="3" ht="16" customHeight="1">
      <c r="C3" s="2" t="inlineStr">
        <is>
          <t>Revival of Educational Glory of Shikarpur</t>
        </is>
      </c>
    </row>
    <row r="4" ht="14" customHeight="1">
      <c r="C4" s="3" t="inlineStr">
        <is>
          <t>DEPARTMENT OF COMPUTER SCIENCE</t>
        </is>
      </c>
    </row>
    <row r="5" ht="9" customHeight="1"/>
    <row r="6" ht="5" customHeight="1"/>
    <row r="7" ht="12" customHeight="1"/>
    <row r="8" ht="28" customHeight="1">
      <c r="B8" s="4" t="inlineStr">
        <is>
          <t>Delivery schedule</t>
        </is>
      </c>
    </row>
    <row r="9" ht="17" customHeight="1">
      <c r="B9" s="5" t="inlineStr">
        <is>
          <t>Digital transformation of campus services, 2026 to 2029 (indicative)</t>
        </is>
      </c>
    </row>
    <row r="10" ht="14" customHeight="1"/>
    <row r="11">
      <c r="B11" t="inlineStr">
        <is>
          <t>Year</t>
        </is>
      </c>
      <c r="C11" t="inlineStr">
        <is>
          <t>Workstream</t>
        </is>
      </c>
      <c r="D11" t="inlineStr">
        <is>
          <t>Owner</t>
        </is>
      </c>
    </row>
    <row r="12">
      <c r="B12" t="n">
        <v>2026</v>
      </c>
      <c r="C12" t="inlineStr">
        <is>
          <t>Admissions portal</t>
        </is>
      </c>
      <c r="D12" t="inlineStr">
        <is>
          <t>Registrar's Office</t>
        </is>
      </c>
    </row>
    <row r="13">
      <c r="B13" t="n">
        <v>2027</v>
      </c>
      <c r="C13" t="inlineStr">
        <is>
          <t>Learning management</t>
        </is>
      </c>
      <c r="D13" t="inlineStr">
        <is>
          <t>Faculty of Education</t>
        </is>
      </c>
    </row>
    <row r="14">
      <c r="B14" t="n">
        <v>2027</v>
      </c>
      <c r="C14" t="inlineStr">
        <is>
          <t>Network refresh</t>
        </is>
      </c>
      <c r="D14" t="inlineStr">
        <is>
          <t>IT Directorate</t>
        </is>
      </c>
    </row>
    <row r="15">
      <c r="B15" t="n">
        <v>2028</v>
      </c>
      <c r="C15" t="inlineStr">
        <is>
          <t>Digital repository</t>
        </is>
      </c>
      <c r="D15" t="inlineStr">
        <is>
          <t>Central Library</t>
        </is>
      </c>
    </row>
    <row r="17">
      <c r="B17" s="9" t="inlineStr">
        <is>
          <t>Table 1  |  Indicative delivery schedule.</t>
        </is>
      </c>
    </row>
  </sheetData>
  <printOptions horizontalCentered="1"/>
  <pageMargins left="0.55" right="0.55" top="0.5" bottom="0.75" header="0.3" footer="0.35"/>
  <pageSetup orientation="portrait" paperSize="9" fitToHeight="0" fitToWidth="1"/>
  <headerFooter>
    <oddHeader/>
    <oddFooter>&amp;L&amp;"Fira Sans Medium,Regular"&amp;7 &amp;K6B2A4CTHE SHAIKH AYAZ UNIVERSITY, SHIKARPUR&amp;C&amp;"Fira Sans,Regular"&amp;7 &amp;K6A626B&amp;A&amp;R&amp;"Fira Sans,Regular"&amp;7 &amp;K6A626BPage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Shaikh Ayaz University, Shikarpur</dc:creator>
  <dc:title xmlns:dc="http://purl.org/dc/elements/1.1/">SAUS workbook demo</dc:title>
  <dc:description xmlns:dc="http://purl.org/dc/elements/1.1/">Generated by excel/source/build_xlsx.py</dc:description>
  <dc:subject xmlns:dc="http://purl.org/dc/elements/1.1/">Revival of Educational Glory of Shikarpur</dc:subject>
  <dcterms:created xmlns:dcterms="http://purl.org/dc/terms/" xmlns:xsi="http://www.w3.org/2001/XMLSchema-instance" xsi:type="dcterms:W3CDTF">2026-09-22T17:22:43Z</dcterms:created>
  <dcterms:modified xmlns:dcterms="http://purl.org/dc/terms/" xmlns:xsi="http://www.w3.org/2001/XMLSchema-instance" xsi:type="dcterms:W3CDTF">2026-09-22T17:22:43Z</dcterms:modified>
  <cp:lastModifiedBy>The Shaikh Ayaz University, Shikarpur</cp:lastModifiedBy>
</cp:coreProperties>
</file>